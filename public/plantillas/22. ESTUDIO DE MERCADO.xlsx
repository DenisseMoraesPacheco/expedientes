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sin\OneDrive - Universidad Autónoma del Estado de México\Documents\FORMATOS\PLANTILLAS\IR\"/>
    </mc:Choice>
  </mc:AlternateContent>
  <xr:revisionPtr revIDLastSave="0" documentId="8_{607B1790-A45B-43F6-A96D-A4C28DCC3A52}" xr6:coauthVersionLast="47" xr6:coauthVersionMax="47" xr10:uidLastSave="{00000000-0000-0000-0000-000000000000}"/>
  <bookViews>
    <workbookView xWindow="-108" yWindow="-108" windowWidth="23256" windowHeight="12456" activeTab="1" xr2:uid="{7B13A69E-FB4D-4F6F-8F94-06A932BC66AF}"/>
  </bookViews>
  <sheets>
    <sheet name="Hoja1" sheetId="1" r:id="rId1"/>
    <sheet name="EM" sheetId="3" r:id="rId2"/>
  </sheets>
  <definedNames>
    <definedName name="_xlnm.Print_Area" localSheetId="1">EM!$A$1:$P$34</definedName>
    <definedName name="_xlnm.Print_Area" localSheetId="0">Hoja1!$A$1:$P$34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3" l="1"/>
  <c r="I19" i="3" s="1"/>
  <c r="L17" i="3"/>
  <c r="I17" i="3"/>
  <c r="F17" i="3"/>
  <c r="L16" i="3"/>
  <c r="I16" i="3"/>
  <c r="F16" i="3"/>
  <c r="L15" i="3"/>
  <c r="I15" i="3"/>
  <c r="F15" i="3"/>
  <c r="L14" i="3"/>
  <c r="L18" i="3" s="1"/>
  <c r="I14" i="3"/>
  <c r="F14" i="3"/>
  <c r="F18" i="3" s="1"/>
  <c r="N14" i="1"/>
  <c r="L20" i="1"/>
  <c r="L19" i="1"/>
  <c r="L18" i="1"/>
  <c r="I20" i="1"/>
  <c r="I19" i="1"/>
  <c r="F16" i="1"/>
  <c r="F18" i="1"/>
  <c r="F19" i="1" s="1"/>
  <c r="F20" i="1" s="1"/>
  <c r="F17" i="1"/>
  <c r="L15" i="1"/>
  <c r="L16" i="1"/>
  <c r="I15" i="1"/>
  <c r="I16" i="1"/>
  <c r="F15" i="1"/>
  <c r="L14" i="1"/>
  <c r="L17" i="1"/>
  <c r="I17" i="1"/>
  <c r="F14" i="1"/>
  <c r="I14" i="1"/>
  <c r="L19" i="3" l="1"/>
  <c r="L20" i="3" s="1"/>
  <c r="F19" i="3"/>
  <c r="F20" i="3"/>
  <c r="I20" i="3"/>
  <c r="I18" i="1"/>
  <c r="N14" i="3" l="1"/>
</calcChain>
</file>

<file path=xl/sharedStrings.xml><?xml version="1.0" encoding="utf-8"?>
<sst xmlns="http://schemas.openxmlformats.org/spreadsheetml/2006/main" count="78" uniqueCount="21">
  <si>
    <t>NOMBRE O RAZÓN SOCIAL</t>
  </si>
  <si>
    <t>UNIDAD DE MEDIDA</t>
  </si>
  <si>
    <t>CANTIDAD</t>
  </si>
  <si>
    <t>PARTIDA</t>
  </si>
  <si>
    <t xml:space="preserve">DESCRIPCIÓN </t>
  </si>
  <si>
    <t>PRECIOS</t>
  </si>
  <si>
    <t>MARCA. MODELO. OBS.</t>
  </si>
  <si>
    <t>UNITARIO</t>
  </si>
  <si>
    <t>TOTAL</t>
  </si>
  <si>
    <t>SUBTOTAL</t>
  </si>
  <si>
    <t>IVA</t>
  </si>
  <si>
    <t>PRECIO DE REFERENCIA</t>
  </si>
  <si>
    <t>“ADQUISICIÓN DE EQUIPOS DE CÓMPUTO”</t>
  </si>
  <si>
    <t>PRONABYS, S.A. DE C.V.</t>
  </si>
  <si>
    <t>EDUARDO FRIAS JERÓNIMO</t>
  </si>
  <si>
    <t>DISTRIBUIDORA MACEDO MARKETING, S.A. DE C.V.</t>
  </si>
  <si>
    <t>Equipo de cómputo de escritorio con factor de forma todo en uno (AIO), pantalla de 23.8" FHD con un procesador de 4 núcleos (4 P-cores con velocidad base de 3.4 GHz con 12 MB de cache), 16 GB en memoria RAM DDR5-4800, unidad de estado sólido con capacidad de almacenamiento de 512 GB, un puerto HDMI, un puerto DisplayPort, un puerto de red GbE, conectividad Wi-Fi 6 y sistema operativo Windows Home en español).</t>
  </si>
  <si>
    <t>Equipo de cómputo portátil (laptop) de 15.5" para programación avanzada con un procesador de 14 núcleos (6 P-cores con velocidad base de 2.3 GHz y 8 E-cores con velocidad base de 1.7 GHz) con 24 MB de cache, 16 GB en memoria RAM DDR5-4800, pantalla FHD de 15.5", un disco de estado sólido con capacidad de 1 TB, conectividad Wi Fi 6 y sistema operativo Windows Pro última versión liberada en español.</t>
  </si>
  <si>
    <t>Equipo de cómputo de escritorio con formato tipo torre (Tower) con monitor de 23.8" FHD, un procesador de 6 núcleos (6 P-cores con velocidad base de 3.0 GHz), 18 MB de cache, 8 GB en memoria RAM DDR4-3200, un disco de estado sólido M.2 con capacidad de 512 GB, Wi Fi 6 y sistema operativo Windows Home 11.</t>
  </si>
  <si>
    <t>Pieza</t>
  </si>
  <si>
    <t>Estación de trabajo portatil (laptop workstation) para actividades de desarrollo de software con un procesador de 12 núcleos (4 p-cores con velocidad base de 2.2 ghz, 8 e-cores con velocidad base de 1.6 ghz y 18 mb de cache), 16 gb de memoria ram ddr5-5200, ssd con capacidad de almacenamiento de 512 gb, pantalla de 16 pulgadas con resolución wuxga, tarjeta gráfica discreta interna (gpu) con 4gb gddr6, conectividad wi fi 6e, bluetooth 5.3 y windows pro última versión liberada en español.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</si>
</sst>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Century Gothic"/>
      <family val="2"/>
    </font>
    <font>
      <i/>
      <sz val="12"/>
      <color theme="1"/>
      <name val="Century Gothic"/>
      <family val="2"/>
    </font>
    <font>
      <sz val="13"/>
      <name val="Century Gothic"/>
      <family val="2"/>
    </font>
    <font>
      <sz val="11"/>
      <color theme="1"/>
      <name val="Century Gothic"/>
      <family val="2"/>
    </font>
    <font>
      <b/>
      <sz val="13"/>
      <name val="Century Gothic"/>
      <family val="2"/>
    </font>
    <font>
      <b/>
      <sz val="13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14"/>
      <name val="Century Gothic"/>
      <family val="2"/>
    </font>
    <font>
      <b/>
      <i/>
      <sz val="12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 wrapText="1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44" fontId="8" fillId="0" borderId="0" xfId="0" applyNumberFormat="1" applyFont="1"/>
    <xf numFmtId="44" fontId="4" fillId="0" borderId="0" xfId="0" applyNumberFormat="1" applyFont="1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 shrinkToFit="1"/>
    </xf>
    <xf numFmtId="4" fontId="9" fillId="2" borderId="4" xfId="0" applyNumberFormat="1" applyFont="1" applyFill="1" applyBorder="1" applyAlignment="1">
      <alignment horizontal="center" vertical="center" wrapText="1"/>
    </xf>
    <xf numFmtId="4" fontId="9" fillId="2" borderId="4" xfId="0" applyNumberFormat="1" applyFont="1" applyFill="1" applyBorder="1" applyAlignment="1">
      <alignment horizontal="center" vertical="center"/>
    </xf>
    <xf numFmtId="0" fontId="12" fillId="0" borderId="0" xfId="0" applyFont="1"/>
    <xf numFmtId="0" fontId="1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4" fontId="12" fillId="0" borderId="0" xfId="0" applyNumberFormat="1" applyFont="1"/>
    <xf numFmtId="44" fontId="16" fillId="0" borderId="0" xfId="0" applyNumberFormat="1" applyFont="1"/>
    <xf numFmtId="0" fontId="16" fillId="0" borderId="0" xfId="0" applyFont="1"/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wrapText="1"/>
    </xf>
    <xf numFmtId="0" fontId="15" fillId="0" borderId="0" xfId="0" applyFont="1"/>
    <xf numFmtId="0" fontId="18" fillId="0" borderId="0" xfId="0" applyFont="1" applyAlignment="1">
      <alignment wrapText="1"/>
    </xf>
    <xf numFmtId="0" fontId="9" fillId="0" borderId="0" xfId="0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9" fillId="2" borderId="2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" fontId="11" fillId="3" borderId="1" xfId="0" applyNumberFormat="1" applyFont="1" applyFill="1" applyBorder="1" applyAlignment="1">
      <alignment horizontal="left" vertical="top" wrapText="1"/>
    </xf>
    <xf numFmtId="4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4" fontId="1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/>
    <xf numFmtId="4" fontId="11" fillId="3" borderId="1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 wrapText="1"/>
    </xf>
    <xf numFmtId="44" fontId="13" fillId="3" borderId="21" xfId="1" applyFont="1" applyFill="1" applyBorder="1" applyAlignment="1">
      <alignment horizontal="right" vertical="center"/>
    </xf>
    <xf numFmtId="44" fontId="14" fillId="3" borderId="22" xfId="1" applyFont="1" applyFill="1" applyBorder="1" applyAlignment="1">
      <alignment horizontal="center" vertical="center"/>
    </xf>
    <xf numFmtId="44" fontId="14" fillId="3" borderId="0" xfId="1" applyFont="1" applyFill="1" applyBorder="1" applyAlignment="1">
      <alignment horizontal="center" vertical="center"/>
    </xf>
    <xf numFmtId="0" fontId="12" fillId="3" borderId="0" xfId="0" applyFont="1" applyFill="1"/>
    <xf numFmtId="44" fontId="13" fillId="3" borderId="23" xfId="1" applyFont="1" applyFill="1" applyBorder="1" applyAlignment="1">
      <alignment horizontal="center" vertical="center"/>
    </xf>
    <xf numFmtId="44" fontId="14" fillId="3" borderId="24" xfId="1" applyFont="1" applyFill="1" applyBorder="1" applyAlignment="1">
      <alignment horizontal="center" vertical="center"/>
    </xf>
    <xf numFmtId="4" fontId="11" fillId="3" borderId="0" xfId="0" applyNumberFormat="1" applyFont="1" applyFill="1" applyAlignment="1">
      <alignment horizontal="justify" vertical="top"/>
    </xf>
    <xf numFmtId="44" fontId="14" fillId="3" borderId="5" xfId="1" applyFont="1" applyFill="1" applyBorder="1" applyAlignment="1">
      <alignment horizontal="center" vertical="center"/>
    </xf>
    <xf numFmtId="44" fontId="14" fillId="3" borderId="15" xfId="1" applyFont="1" applyFill="1" applyBorder="1" applyAlignment="1">
      <alignment horizontal="center" vertical="center"/>
    </xf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44" fontId="8" fillId="3" borderId="0" xfId="0" applyNumberFormat="1" applyFont="1" applyFill="1"/>
    <xf numFmtId="44" fontId="4" fillId="3" borderId="0" xfId="0" applyNumberFormat="1" applyFont="1" applyFill="1"/>
    <xf numFmtId="0" fontId="7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44" fontId="14" fillId="3" borderId="0" xfId="1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4" fontId="9" fillId="2" borderId="4" xfId="0" applyNumberFormat="1" applyFont="1" applyFill="1" applyBorder="1" applyAlignment="1">
      <alignment horizontal="center" vertical="center" wrapText="1"/>
    </xf>
    <xf numFmtId="4" fontId="9" fillId="2" borderId="12" xfId="0" applyNumberFormat="1" applyFont="1" applyFill="1" applyBorder="1" applyAlignment="1">
      <alignment horizontal="center" vertical="center" wrapText="1"/>
    </xf>
    <xf numFmtId="4" fontId="9" fillId="2" borderId="18" xfId="0" applyNumberFormat="1" applyFont="1" applyFill="1" applyBorder="1" applyAlignment="1">
      <alignment horizontal="center" vertical="center" wrapText="1"/>
    </xf>
    <xf numFmtId="4" fontId="9" fillId="2" borderId="20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 shrinkToFit="1"/>
    </xf>
    <xf numFmtId="0" fontId="19" fillId="2" borderId="4" xfId="0" applyFont="1" applyFill="1" applyBorder="1" applyAlignment="1">
      <alignment horizontal="center" vertical="center" wrapText="1" shrinkToFit="1"/>
    </xf>
    <xf numFmtId="44" fontId="13" fillId="3" borderId="1" xfId="0" applyNumberFormat="1" applyFont="1" applyFill="1" applyBorder="1" applyAlignment="1">
      <alignment horizontal="center" vertical="center" wrapText="1" shrinkToFit="1"/>
    </xf>
    <xf numFmtId="44" fontId="13" fillId="3" borderId="0" xfId="1" applyFont="1" applyFill="1" applyBorder="1" applyAlignment="1">
      <alignment horizontal="right" vertical="center"/>
    </xf>
    <xf numFmtId="44" fontId="14" fillId="3" borderId="0" xfId="0" applyNumberFormat="1" applyFont="1" applyFill="1" applyAlignment="1">
      <alignment horizontal="right"/>
    </xf>
    <xf numFmtId="4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4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16</xdr:row>
      <xdr:rowOff>966107</xdr:rowOff>
    </xdr:from>
    <xdr:to>
      <xdr:col>5</xdr:col>
      <xdr:colOff>84093</xdr:colOff>
      <xdr:row>33</xdr:row>
      <xdr:rowOff>165099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70229B-E277-44CE-8BF2-B59C4BE3EF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149"/>
        <a:stretch>
          <a:fillRect/>
        </a:stretch>
      </xdr:blipFill>
      <xdr:spPr>
        <a:xfrm>
          <a:off x="1" y="10899321"/>
          <a:ext cx="7799342" cy="6043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F00D-A539-45D2-8DDA-D7700528F8C2}">
  <dimension ref="A1:P34"/>
  <sheetViews>
    <sheetView view="pageBreakPreview" topLeftCell="A3" zoomScale="31" zoomScaleNormal="70" zoomScaleSheetLayoutView="70" workbookViewId="0">
      <selection activeCell="U15" sqref="U15"/>
    </sheetView>
  </sheetViews>
  <sheetFormatPr defaultColWidth="11.5546875" defaultRowHeight="14.4" x14ac:dyDescent="0.3"/>
  <cols>
    <col min="1" max="1" width="14.33203125" customWidth="1"/>
    <col min="2" max="2" width="56" customWidth="1"/>
    <col min="3" max="3" width="12.6640625" customWidth="1"/>
    <col min="4" max="4" width="16.109375" customWidth="1"/>
    <col min="5" max="5" width="16.6640625" bestFit="1" customWidth="1"/>
    <col min="6" max="6" width="19.44140625" bestFit="1" customWidth="1"/>
    <col min="7" max="7" width="22.5546875" customWidth="1"/>
    <col min="8" max="8" width="17.109375" customWidth="1"/>
    <col min="9" max="9" width="19.88671875" bestFit="1" customWidth="1"/>
    <col min="10" max="10" width="22.6640625" customWidth="1"/>
    <col min="11" max="11" width="15.6640625" customWidth="1"/>
    <col min="12" max="12" width="19.88671875" bestFit="1" customWidth="1"/>
    <col min="13" max="13" width="22.5546875" customWidth="1"/>
    <col min="14" max="14" width="5.44140625" customWidth="1"/>
    <col min="15" max="15" width="8.33203125" customWidth="1"/>
    <col min="16" max="16" width="11" customWidth="1"/>
  </cols>
  <sheetData>
    <row r="1" spans="1:16" ht="15.75" customHeight="1" x14ac:dyDescent="0.3">
      <c r="A1" s="49"/>
      <c r="B1" s="49"/>
      <c r="C1" s="49"/>
      <c r="D1" s="49"/>
      <c r="E1" s="49"/>
      <c r="F1" s="49"/>
      <c r="G1" s="49"/>
      <c r="H1" s="49"/>
      <c r="I1" s="49"/>
      <c r="J1" s="49"/>
      <c r="K1" s="4"/>
      <c r="L1" s="4"/>
      <c r="M1" s="4"/>
    </row>
    <row r="2" spans="1:16" ht="18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1"/>
      <c r="N2" s="1"/>
    </row>
    <row r="3" spans="1:16" ht="15.6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1"/>
      <c r="L3" s="1"/>
      <c r="M3" s="1"/>
      <c r="N3" s="1"/>
    </row>
    <row r="4" spans="1:16" ht="15.6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1"/>
      <c r="L4" s="1"/>
      <c r="M4" s="1"/>
      <c r="N4" s="1"/>
    </row>
    <row r="5" spans="1:16" ht="17.39999999999999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</row>
    <row r="6" spans="1:16" ht="17.399999999999999" x14ac:dyDescent="0.3">
      <c r="A6" s="15"/>
      <c r="B6" s="15"/>
      <c r="C6" s="15"/>
      <c r="D6" s="15"/>
      <c r="E6" s="4"/>
      <c r="F6" s="4"/>
      <c r="G6" s="4"/>
      <c r="H6" s="50"/>
      <c r="I6" s="50"/>
      <c r="J6" s="50"/>
      <c r="K6" s="50"/>
      <c r="L6" s="50"/>
      <c r="M6" s="50"/>
      <c r="N6" s="1"/>
    </row>
    <row r="7" spans="1:16" ht="17.399999999999999" x14ac:dyDescent="0.3">
      <c r="A7" s="21"/>
      <c r="B7" s="22"/>
      <c r="C7" s="23"/>
      <c r="D7" s="23"/>
      <c r="E7" s="5"/>
      <c r="F7" s="5"/>
      <c r="G7" s="5"/>
      <c r="H7" s="5"/>
      <c r="I7" s="5"/>
      <c r="J7" s="5"/>
      <c r="K7" s="5"/>
      <c r="L7" s="5"/>
      <c r="M7" s="5"/>
      <c r="N7" s="1"/>
    </row>
    <row r="8" spans="1:16" ht="17.399999999999999" x14ac:dyDescent="0.3">
      <c r="A8" s="24"/>
      <c r="B8" s="25"/>
      <c r="C8" s="23"/>
      <c r="D8" s="23"/>
      <c r="E8" s="5"/>
      <c r="F8" s="5"/>
      <c r="G8" s="5"/>
      <c r="N8" s="1"/>
    </row>
    <row r="9" spans="1:16" ht="18" thickBot="1" x14ac:dyDescent="0.35">
      <c r="A9" s="2"/>
      <c r="B9" s="2"/>
      <c r="C9" s="2"/>
      <c r="D9" s="2"/>
      <c r="E9" s="2"/>
      <c r="G9" s="2"/>
      <c r="H9" s="2"/>
      <c r="K9" s="2"/>
      <c r="N9" s="6"/>
    </row>
    <row r="10" spans="1:16" ht="40.200000000000003" customHeight="1" thickBot="1" x14ac:dyDescent="0.35">
      <c r="A10" s="26" t="s">
        <v>3</v>
      </c>
      <c r="B10" s="51" t="s">
        <v>12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  <c r="N10" s="11"/>
      <c r="O10" s="11"/>
      <c r="P10" s="11"/>
    </row>
    <row r="11" spans="1:16" ht="46.5" customHeight="1" x14ac:dyDescent="0.3">
      <c r="A11" s="53" t="s">
        <v>0</v>
      </c>
      <c r="B11" s="54"/>
      <c r="C11" s="55" t="s">
        <v>1</v>
      </c>
      <c r="D11" s="55" t="s">
        <v>2</v>
      </c>
      <c r="E11" s="57" t="s">
        <v>13</v>
      </c>
      <c r="F11" s="58"/>
      <c r="G11" s="59"/>
      <c r="H11" s="57" t="s">
        <v>15</v>
      </c>
      <c r="I11" s="58"/>
      <c r="J11" s="59"/>
      <c r="K11" s="57" t="s">
        <v>14</v>
      </c>
      <c r="L11" s="58"/>
      <c r="M11" s="60"/>
      <c r="N11" s="11"/>
      <c r="O11" s="11"/>
      <c r="P11" s="11"/>
    </row>
    <row r="12" spans="1:16" ht="30" customHeight="1" x14ac:dyDescent="0.3">
      <c r="A12" s="62" t="s">
        <v>3</v>
      </c>
      <c r="B12" s="64" t="s">
        <v>4</v>
      </c>
      <c r="C12" s="56"/>
      <c r="D12" s="56"/>
      <c r="E12" s="66" t="s">
        <v>5</v>
      </c>
      <c r="F12" s="67"/>
      <c r="G12" s="68" t="s">
        <v>6</v>
      </c>
      <c r="H12" s="66" t="s">
        <v>5</v>
      </c>
      <c r="I12" s="67"/>
      <c r="J12" s="68" t="s">
        <v>6</v>
      </c>
      <c r="K12" s="66" t="s">
        <v>5</v>
      </c>
      <c r="L12" s="67"/>
      <c r="M12" s="70" t="s">
        <v>6</v>
      </c>
      <c r="N12" s="72" t="s">
        <v>11</v>
      </c>
      <c r="O12" s="72"/>
      <c r="P12" s="72"/>
    </row>
    <row r="13" spans="1:16" ht="31.95" customHeight="1" x14ac:dyDescent="0.3">
      <c r="A13" s="63"/>
      <c r="B13" s="65"/>
      <c r="C13" s="56"/>
      <c r="D13" s="56"/>
      <c r="E13" s="13" t="s">
        <v>7</v>
      </c>
      <c r="F13" s="13" t="s">
        <v>8</v>
      </c>
      <c r="G13" s="69"/>
      <c r="H13" s="13" t="s">
        <v>7</v>
      </c>
      <c r="I13" s="13" t="s">
        <v>8</v>
      </c>
      <c r="J13" s="69"/>
      <c r="K13" s="12" t="s">
        <v>7</v>
      </c>
      <c r="L13" s="13" t="s">
        <v>8</v>
      </c>
      <c r="M13" s="71"/>
      <c r="N13" s="73"/>
      <c r="O13" s="73"/>
      <c r="P13" s="73"/>
    </row>
    <row r="14" spans="1:16" ht="178.5" customHeight="1" x14ac:dyDescent="0.3">
      <c r="A14" s="27">
        <v>1</v>
      </c>
      <c r="B14" s="28" t="s">
        <v>16</v>
      </c>
      <c r="C14" s="29" t="s">
        <v>19</v>
      </c>
      <c r="D14" s="30">
        <v>15</v>
      </c>
      <c r="E14" s="31">
        <v>13530</v>
      </c>
      <c r="F14" s="31">
        <f>+E14*D14</f>
        <v>202950</v>
      </c>
      <c r="G14" s="29"/>
      <c r="H14" s="31">
        <v>18050</v>
      </c>
      <c r="I14" s="31">
        <f>+H14*D14</f>
        <v>270750</v>
      </c>
      <c r="J14" s="32"/>
      <c r="K14" s="33">
        <v>19025</v>
      </c>
      <c r="L14" s="31">
        <f>+K14*D14</f>
        <v>285375</v>
      </c>
      <c r="M14" s="31"/>
      <c r="N14" s="74">
        <f>(F20+I20+L20)/3</f>
        <v>1140078.9526666666</v>
      </c>
      <c r="O14" s="74"/>
      <c r="P14" s="74"/>
    </row>
    <row r="15" spans="1:16" ht="164.25" customHeight="1" x14ac:dyDescent="0.3">
      <c r="A15" s="27">
        <v>2</v>
      </c>
      <c r="B15" s="28" t="s">
        <v>17</v>
      </c>
      <c r="C15" s="29" t="s">
        <v>19</v>
      </c>
      <c r="D15" s="30">
        <v>4</v>
      </c>
      <c r="E15" s="31">
        <v>21780</v>
      </c>
      <c r="F15" s="31">
        <f t="shared" ref="F15" si="0">+E15*D15</f>
        <v>87120</v>
      </c>
      <c r="G15" s="29"/>
      <c r="H15" s="31">
        <v>24156</v>
      </c>
      <c r="I15" s="31">
        <f t="shared" ref="I15:I16" si="1">+H15*D15</f>
        <v>96624</v>
      </c>
      <c r="J15" s="32"/>
      <c r="K15" s="33">
        <v>26870</v>
      </c>
      <c r="L15" s="31">
        <f t="shared" ref="L15:L16" si="2">+K15*D15</f>
        <v>107480</v>
      </c>
      <c r="M15" s="31"/>
      <c r="N15" s="74"/>
      <c r="O15" s="74"/>
      <c r="P15" s="74"/>
    </row>
    <row r="16" spans="1:16" ht="129.6" x14ac:dyDescent="0.3">
      <c r="A16" s="27">
        <v>3</v>
      </c>
      <c r="B16" s="28" t="s">
        <v>18</v>
      </c>
      <c r="C16" s="29"/>
      <c r="D16" s="30">
        <v>15</v>
      </c>
      <c r="E16" s="31">
        <v>25130</v>
      </c>
      <c r="F16" s="31">
        <f>D16*E16</f>
        <v>376950</v>
      </c>
      <c r="G16" s="29"/>
      <c r="H16" s="31">
        <v>30591</v>
      </c>
      <c r="I16" s="31">
        <f t="shared" si="1"/>
        <v>458865</v>
      </c>
      <c r="J16" s="32"/>
      <c r="K16" s="33">
        <v>32500</v>
      </c>
      <c r="L16" s="31">
        <f t="shared" si="2"/>
        <v>487500</v>
      </c>
      <c r="M16" s="31"/>
      <c r="N16" s="74"/>
      <c r="O16" s="74"/>
      <c r="P16" s="74"/>
    </row>
    <row r="17" spans="1:16" ht="227.4" thickBot="1" x14ac:dyDescent="0.35">
      <c r="A17" s="27">
        <v>4</v>
      </c>
      <c r="B17" s="28" t="s">
        <v>20</v>
      </c>
      <c r="C17" s="29" t="s">
        <v>19</v>
      </c>
      <c r="D17" s="30">
        <v>5</v>
      </c>
      <c r="E17" s="31">
        <v>36921.21</v>
      </c>
      <c r="F17" s="31">
        <f>D17*E17</f>
        <v>184606.05</v>
      </c>
      <c r="G17" s="29"/>
      <c r="H17" s="31">
        <v>38378</v>
      </c>
      <c r="I17" s="31">
        <f>+H17*D17</f>
        <v>191890</v>
      </c>
      <c r="J17" s="32"/>
      <c r="K17" s="33">
        <v>39674</v>
      </c>
      <c r="L17" s="31">
        <f>+K17*D17</f>
        <v>198370</v>
      </c>
      <c r="M17" s="31"/>
      <c r="N17" s="74"/>
      <c r="O17" s="74"/>
      <c r="P17" s="74"/>
    </row>
    <row r="18" spans="1:16" ht="16.8" x14ac:dyDescent="0.3">
      <c r="A18" s="34"/>
      <c r="B18" s="34"/>
      <c r="C18" s="34"/>
      <c r="D18" s="34"/>
      <c r="E18" s="35" t="s">
        <v>9</v>
      </c>
      <c r="F18" s="36">
        <f>SUM(F14:F17)</f>
        <v>851626.05</v>
      </c>
      <c r="G18" s="37"/>
      <c r="H18" s="35" t="s">
        <v>9</v>
      </c>
      <c r="I18" s="36">
        <f>SUM(I14:I17)</f>
        <v>1018129</v>
      </c>
      <c r="J18" s="37"/>
      <c r="K18" s="35" t="s">
        <v>9</v>
      </c>
      <c r="L18" s="36">
        <f>SUM(L14:L17)</f>
        <v>1078725</v>
      </c>
      <c r="M18" s="38"/>
      <c r="N18" s="75"/>
      <c r="O18" s="75"/>
      <c r="P18" s="75"/>
    </row>
    <row r="19" spans="1:16" ht="16.8" x14ac:dyDescent="0.3">
      <c r="A19" s="34"/>
      <c r="B19" s="34"/>
      <c r="C19" s="34"/>
      <c r="D19" s="34"/>
      <c r="E19" s="39" t="s">
        <v>10</v>
      </c>
      <c r="F19" s="40">
        <f>F18*0.16</f>
        <v>136260.16800000001</v>
      </c>
      <c r="G19" s="41"/>
      <c r="H19" s="39" t="s">
        <v>10</v>
      </c>
      <c r="I19" s="40">
        <f>I18*16%</f>
        <v>162900.64000000001</v>
      </c>
      <c r="J19" s="37"/>
      <c r="K19" s="39" t="s">
        <v>10</v>
      </c>
      <c r="L19" s="40">
        <f>L18*16%</f>
        <v>172596</v>
      </c>
      <c r="M19" s="38"/>
      <c r="N19" s="61"/>
      <c r="O19" s="61"/>
      <c r="P19" s="61"/>
    </row>
    <row r="20" spans="1:16" ht="17.399999999999999" thickBot="1" x14ac:dyDescent="0.35">
      <c r="A20" s="34"/>
      <c r="B20" s="34"/>
      <c r="C20" s="34"/>
      <c r="D20" s="34"/>
      <c r="E20" s="42" t="s">
        <v>8</v>
      </c>
      <c r="F20" s="43">
        <f>SUM(F18:F19)</f>
        <v>987886.21800000011</v>
      </c>
      <c r="G20" s="41"/>
      <c r="H20" s="42" t="s">
        <v>8</v>
      </c>
      <c r="I20" s="43">
        <f>SUM(I18:I19)</f>
        <v>1181029.6400000001</v>
      </c>
      <c r="J20" s="37"/>
      <c r="K20" s="42" t="s">
        <v>8</v>
      </c>
      <c r="L20" s="43">
        <f>SUM(L18:L19)</f>
        <v>1251321</v>
      </c>
      <c r="M20" s="38"/>
      <c r="N20" s="76"/>
      <c r="O20" s="76"/>
      <c r="P20" s="76"/>
    </row>
    <row r="21" spans="1:16" ht="16.8" x14ac:dyDescent="0.3">
      <c r="A21" s="44"/>
      <c r="B21" s="44"/>
      <c r="C21" s="44"/>
      <c r="D21" s="44"/>
      <c r="E21" s="45"/>
      <c r="F21" s="46"/>
      <c r="G21" s="44"/>
      <c r="H21" s="45"/>
      <c r="I21" s="47"/>
      <c r="J21" s="44"/>
      <c r="K21" s="48"/>
      <c r="L21" s="47"/>
      <c r="M21" s="44"/>
      <c r="N21" s="81"/>
      <c r="O21" s="82"/>
      <c r="P21" s="82"/>
    </row>
    <row r="22" spans="1:16" ht="39.6" customHeight="1" x14ac:dyDescent="0.3">
      <c r="A22" s="14"/>
      <c r="B22" s="14"/>
      <c r="C22" s="14"/>
      <c r="D22" s="14"/>
      <c r="E22" s="16"/>
      <c r="F22" s="17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3">
      <c r="A23" s="14"/>
      <c r="B23" s="79"/>
      <c r="C23" s="79"/>
      <c r="D23" s="79"/>
      <c r="E23" s="79"/>
      <c r="F23" s="18"/>
      <c r="G23" s="19"/>
      <c r="H23" s="19"/>
      <c r="I23" s="79"/>
      <c r="J23" s="79"/>
      <c r="K23" s="79"/>
      <c r="L23" s="79"/>
      <c r="M23" s="79"/>
      <c r="N23" s="79"/>
      <c r="O23" s="79"/>
      <c r="P23" s="14"/>
    </row>
    <row r="24" spans="1:16" x14ac:dyDescent="0.3">
      <c r="A24" s="14"/>
      <c r="B24" s="14"/>
      <c r="C24" s="14"/>
      <c r="D24" s="19"/>
      <c r="E24" s="19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4"/>
    </row>
    <row r="25" spans="1:16" x14ac:dyDescent="0.3">
      <c r="A25" s="14"/>
      <c r="B25" s="14"/>
      <c r="C25" s="14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4"/>
    </row>
    <row r="26" spans="1:16" ht="60" customHeight="1" x14ac:dyDescent="0.3">
      <c r="A26" s="14"/>
      <c r="B26" s="14"/>
      <c r="C26" s="14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4"/>
    </row>
    <row r="27" spans="1:16" x14ac:dyDescent="0.3">
      <c r="A27" s="14"/>
      <c r="B27" s="14"/>
      <c r="C27" s="14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4"/>
    </row>
    <row r="28" spans="1:16" ht="14.4" customHeight="1" x14ac:dyDescent="0.3">
      <c r="A28" s="14"/>
      <c r="B28" s="80"/>
      <c r="C28" s="80"/>
      <c r="D28" s="80"/>
      <c r="E28" s="80"/>
      <c r="F28" s="20"/>
      <c r="G28" s="20"/>
      <c r="H28" s="19"/>
      <c r="I28" s="80"/>
      <c r="J28" s="80"/>
      <c r="K28" s="80"/>
      <c r="L28" s="80"/>
      <c r="M28" s="80"/>
      <c r="N28" s="80"/>
      <c r="O28" s="80"/>
      <c r="P28" s="14"/>
    </row>
    <row r="29" spans="1:16" x14ac:dyDescent="0.3">
      <c r="A29" s="14"/>
      <c r="B29" s="80"/>
      <c r="C29" s="80"/>
      <c r="D29" s="80"/>
      <c r="E29" s="80"/>
      <c r="F29" s="20"/>
      <c r="G29" s="20"/>
      <c r="H29" s="19"/>
      <c r="I29" s="80"/>
      <c r="J29" s="80"/>
      <c r="K29" s="80"/>
      <c r="L29" s="80"/>
      <c r="M29" s="80"/>
      <c r="N29" s="80"/>
      <c r="O29" s="80"/>
      <c r="P29" s="14"/>
    </row>
    <row r="30" spans="1:16" x14ac:dyDescent="0.3">
      <c r="A30" s="14"/>
      <c r="B30" s="80"/>
      <c r="C30" s="80"/>
      <c r="D30" s="80"/>
      <c r="E30" s="80"/>
      <c r="F30" s="20"/>
      <c r="G30" s="20"/>
      <c r="H30" s="19"/>
      <c r="I30" s="80"/>
      <c r="J30" s="80"/>
      <c r="K30" s="80"/>
      <c r="L30" s="80"/>
      <c r="M30" s="80"/>
      <c r="N30" s="80"/>
      <c r="O30" s="80"/>
      <c r="P30" s="14"/>
    </row>
    <row r="31" spans="1:16" x14ac:dyDescent="0.3">
      <c r="A31" s="14"/>
      <c r="B31" s="80"/>
      <c r="C31" s="80"/>
      <c r="D31" s="80"/>
      <c r="E31" s="80"/>
      <c r="F31" s="20"/>
      <c r="G31" s="20"/>
      <c r="H31" s="19"/>
      <c r="I31" s="80"/>
      <c r="J31" s="80"/>
      <c r="K31" s="80"/>
      <c r="L31" s="80"/>
      <c r="M31" s="80"/>
      <c r="N31" s="80"/>
      <c r="O31" s="80"/>
      <c r="P31" s="14"/>
    </row>
    <row r="32" spans="1:16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</sheetData>
  <mergeCells count="28">
    <mergeCell ref="A1:J4"/>
    <mergeCell ref="H6:J6"/>
    <mergeCell ref="J12:J13"/>
    <mergeCell ref="H12:I12"/>
    <mergeCell ref="G12:G13"/>
    <mergeCell ref="E12:F12"/>
    <mergeCell ref="A12:A13"/>
    <mergeCell ref="B12:B13"/>
    <mergeCell ref="A11:B11"/>
    <mergeCell ref="C11:C13"/>
    <mergeCell ref="D11:D13"/>
    <mergeCell ref="E11:G11"/>
    <mergeCell ref="H11:J11"/>
    <mergeCell ref="N18:P18"/>
    <mergeCell ref="K6:M6"/>
    <mergeCell ref="K11:M11"/>
    <mergeCell ref="K12:L12"/>
    <mergeCell ref="M12:M13"/>
    <mergeCell ref="B10:M10"/>
    <mergeCell ref="N12:P13"/>
    <mergeCell ref="N14:P17"/>
    <mergeCell ref="B23:E23"/>
    <mergeCell ref="B28:E31"/>
    <mergeCell ref="N19:P19"/>
    <mergeCell ref="N20:P20"/>
    <mergeCell ref="N21:P21"/>
    <mergeCell ref="I28:O31"/>
    <mergeCell ref="I23:O23"/>
  </mergeCells>
  <pageMargins left="0.70866141732283472" right="0.70866141732283472" top="1.3385826771653544" bottom="0.74803149606299213" header="0.31496062992125984" footer="0.31496062992125984"/>
  <pageSetup scale="40" orientation="landscape" r:id="rId1"/>
  <headerFooter>
    <oddHeader>&amp;L&amp;"Century Gothic,Negrita"&amp;8&amp;G&amp;C
2026. AÑO DEL HUMANISMO MEXICANO EN EL ESTADO DE MÉXICO,&amp;R&amp;G</oddHeader>
    <oddFooter xml:space="preserve">&amp;C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BA25-BA38-46CC-A2C0-E4179853C24A}">
  <sheetPr>
    <pageSetUpPr fitToPage="1"/>
  </sheetPr>
  <dimension ref="A1:P34"/>
  <sheetViews>
    <sheetView tabSelected="1" view="pageBreakPreview" zoomScale="32" zoomScaleNormal="70" zoomScaleSheetLayoutView="70" workbookViewId="0">
      <selection activeCell="X17" sqref="X17"/>
    </sheetView>
  </sheetViews>
  <sheetFormatPr defaultColWidth="11.5546875" defaultRowHeight="14.4" x14ac:dyDescent="0.3"/>
  <cols>
    <col min="1" max="1" width="14.33203125" customWidth="1"/>
    <col min="2" max="2" width="56" customWidth="1"/>
    <col min="3" max="3" width="12.6640625" customWidth="1"/>
    <col min="4" max="4" width="16.109375" customWidth="1"/>
    <col min="5" max="5" width="16.6640625" bestFit="1" customWidth="1"/>
    <col min="6" max="6" width="19.44140625" bestFit="1" customWidth="1"/>
    <col min="7" max="7" width="22.5546875" customWidth="1"/>
    <col min="8" max="8" width="17.109375" customWidth="1"/>
    <col min="9" max="9" width="19.88671875" bestFit="1" customWidth="1"/>
    <col min="10" max="10" width="22.6640625" customWidth="1"/>
    <col min="11" max="11" width="15.6640625" customWidth="1"/>
    <col min="12" max="12" width="19.88671875" bestFit="1" customWidth="1"/>
    <col min="13" max="13" width="22.5546875" customWidth="1"/>
    <col min="14" max="14" width="5.44140625" customWidth="1"/>
    <col min="15" max="15" width="8.33203125" customWidth="1"/>
    <col min="16" max="16" width="11" customWidth="1"/>
  </cols>
  <sheetData>
    <row r="1" spans="1:16" ht="15.75" customHeight="1" x14ac:dyDescent="0.3">
      <c r="A1" s="49"/>
      <c r="B1" s="49"/>
      <c r="C1" s="49"/>
      <c r="D1" s="49"/>
      <c r="E1" s="49"/>
      <c r="F1" s="49"/>
      <c r="G1" s="49"/>
      <c r="H1" s="49"/>
      <c r="I1" s="49"/>
      <c r="J1" s="49"/>
      <c r="K1" s="4"/>
      <c r="L1" s="4"/>
      <c r="M1" s="4"/>
    </row>
    <row r="2" spans="1:16" ht="18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1"/>
      <c r="N2" s="1"/>
    </row>
    <row r="3" spans="1:16" ht="15.6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1"/>
      <c r="L3" s="1"/>
      <c r="M3" s="1"/>
      <c r="N3" s="1"/>
    </row>
    <row r="4" spans="1:16" ht="15.6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1"/>
      <c r="L4" s="1"/>
      <c r="M4" s="1"/>
      <c r="N4" s="1"/>
    </row>
    <row r="5" spans="1:16" ht="17.399999999999999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</row>
    <row r="6" spans="1:16" ht="17.399999999999999" x14ac:dyDescent="0.3">
      <c r="A6" s="15"/>
      <c r="B6" s="15"/>
      <c r="C6" s="15"/>
      <c r="D6" s="15"/>
      <c r="E6" s="4"/>
      <c r="F6" s="4"/>
      <c r="G6" s="4"/>
      <c r="H6" s="50"/>
      <c r="I6" s="50"/>
      <c r="J6" s="50"/>
      <c r="K6" s="50"/>
      <c r="L6" s="50"/>
      <c r="M6" s="50"/>
      <c r="N6" s="1"/>
    </row>
    <row r="7" spans="1:16" ht="17.399999999999999" x14ac:dyDescent="0.3">
      <c r="A7" s="21"/>
      <c r="B7" s="22"/>
      <c r="C7" s="23"/>
      <c r="D7" s="23"/>
      <c r="E7" s="5"/>
      <c r="F7" s="5"/>
      <c r="G7" s="5"/>
      <c r="H7" s="5"/>
      <c r="I7" s="5"/>
      <c r="J7" s="5"/>
      <c r="K7" s="5"/>
      <c r="L7" s="5"/>
      <c r="M7" s="5"/>
      <c r="N7" s="1"/>
    </row>
    <row r="8" spans="1:16" ht="17.399999999999999" x14ac:dyDescent="0.3">
      <c r="A8" s="24"/>
      <c r="B8" s="25"/>
      <c r="C8" s="23"/>
      <c r="D8" s="23"/>
      <c r="E8" s="5"/>
      <c r="F8" s="5"/>
      <c r="G8" s="5"/>
      <c r="N8" s="1"/>
    </row>
    <row r="9" spans="1:16" ht="18" thickBot="1" x14ac:dyDescent="0.35">
      <c r="A9" s="2"/>
      <c r="B9" s="2"/>
      <c r="C9" s="2"/>
      <c r="D9" s="2"/>
      <c r="E9" s="2"/>
      <c r="G9" s="2"/>
      <c r="H9" s="2"/>
      <c r="K9" s="2"/>
      <c r="N9" s="6"/>
    </row>
    <row r="10" spans="1:16" ht="40.200000000000003" customHeight="1" thickBot="1" x14ac:dyDescent="0.35">
      <c r="A10" s="26" t="s">
        <v>3</v>
      </c>
      <c r="B10" s="51" t="s">
        <v>12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  <c r="N10" s="11"/>
      <c r="O10" s="11"/>
      <c r="P10" s="11"/>
    </row>
    <row r="11" spans="1:16" ht="46.5" customHeight="1" x14ac:dyDescent="0.3">
      <c r="A11" s="53" t="s">
        <v>0</v>
      </c>
      <c r="B11" s="54"/>
      <c r="C11" s="55" t="s">
        <v>1</v>
      </c>
      <c r="D11" s="55" t="s">
        <v>2</v>
      </c>
      <c r="E11" s="57" t="s">
        <v>13</v>
      </c>
      <c r="F11" s="58"/>
      <c r="G11" s="59"/>
      <c r="H11" s="57" t="s">
        <v>15</v>
      </c>
      <c r="I11" s="58"/>
      <c r="J11" s="59"/>
      <c r="K11" s="57" t="s">
        <v>14</v>
      </c>
      <c r="L11" s="58"/>
      <c r="M11" s="60"/>
      <c r="N11" s="11"/>
      <c r="O11" s="11"/>
      <c r="P11" s="11"/>
    </row>
    <row r="12" spans="1:16" ht="30" customHeight="1" x14ac:dyDescent="0.3">
      <c r="A12" s="62" t="s">
        <v>3</v>
      </c>
      <c r="B12" s="64" t="s">
        <v>4</v>
      </c>
      <c r="C12" s="56"/>
      <c r="D12" s="56"/>
      <c r="E12" s="66" t="s">
        <v>5</v>
      </c>
      <c r="F12" s="67"/>
      <c r="G12" s="68" t="s">
        <v>6</v>
      </c>
      <c r="H12" s="66" t="s">
        <v>5</v>
      </c>
      <c r="I12" s="67"/>
      <c r="J12" s="68" t="s">
        <v>6</v>
      </c>
      <c r="K12" s="66" t="s">
        <v>5</v>
      </c>
      <c r="L12" s="67"/>
      <c r="M12" s="70" t="s">
        <v>6</v>
      </c>
      <c r="N12" s="72" t="s">
        <v>11</v>
      </c>
      <c r="O12" s="72"/>
      <c r="P12" s="72"/>
    </row>
    <row r="13" spans="1:16" ht="31.95" customHeight="1" x14ac:dyDescent="0.3">
      <c r="A13" s="63"/>
      <c r="B13" s="65"/>
      <c r="C13" s="56"/>
      <c r="D13" s="56"/>
      <c r="E13" s="13" t="s">
        <v>7</v>
      </c>
      <c r="F13" s="13" t="s">
        <v>8</v>
      </c>
      <c r="G13" s="69"/>
      <c r="H13" s="13" t="s">
        <v>7</v>
      </c>
      <c r="I13" s="13" t="s">
        <v>8</v>
      </c>
      <c r="J13" s="69"/>
      <c r="K13" s="12" t="s">
        <v>7</v>
      </c>
      <c r="L13" s="13" t="s">
        <v>8</v>
      </c>
      <c r="M13" s="71"/>
      <c r="N13" s="73"/>
      <c r="O13" s="73"/>
      <c r="P13" s="73"/>
    </row>
    <row r="14" spans="1:16" ht="178.5" customHeight="1" x14ac:dyDescent="0.3">
      <c r="A14" s="27">
        <v>1</v>
      </c>
      <c r="B14" s="28" t="s">
        <v>16</v>
      </c>
      <c r="C14" s="29" t="s">
        <v>19</v>
      </c>
      <c r="D14" s="30">
        <v>15</v>
      </c>
      <c r="E14" s="31">
        <v>13530</v>
      </c>
      <c r="F14" s="31">
        <f>+E14*D14</f>
        <v>202950</v>
      </c>
      <c r="G14" s="29"/>
      <c r="H14" s="31">
        <v>18050</v>
      </c>
      <c r="I14" s="31">
        <f>+H14*D14</f>
        <v>270750</v>
      </c>
      <c r="J14" s="32"/>
      <c r="K14" s="33">
        <v>19025</v>
      </c>
      <c r="L14" s="31">
        <f>+K14*D14</f>
        <v>285375</v>
      </c>
      <c r="M14" s="31"/>
      <c r="N14" s="74">
        <f>(F20+I20+L20)/3</f>
        <v>1140078.9526666666</v>
      </c>
      <c r="O14" s="74"/>
      <c r="P14" s="74"/>
    </row>
    <row r="15" spans="1:16" ht="164.25" customHeight="1" x14ac:dyDescent="0.3">
      <c r="A15" s="27">
        <v>2</v>
      </c>
      <c r="B15" s="28" t="s">
        <v>17</v>
      </c>
      <c r="C15" s="29" t="s">
        <v>19</v>
      </c>
      <c r="D15" s="30">
        <v>4</v>
      </c>
      <c r="E15" s="31">
        <v>21780</v>
      </c>
      <c r="F15" s="31">
        <f t="shared" ref="F15" si="0">+E15*D15</f>
        <v>87120</v>
      </c>
      <c r="G15" s="29"/>
      <c r="H15" s="31">
        <v>24156</v>
      </c>
      <c r="I15" s="31">
        <f t="shared" ref="I15:I16" si="1">+H15*D15</f>
        <v>96624</v>
      </c>
      <c r="J15" s="32"/>
      <c r="K15" s="33">
        <v>26870</v>
      </c>
      <c r="L15" s="31">
        <f t="shared" ref="L15:L16" si="2">+K15*D15</f>
        <v>107480</v>
      </c>
      <c r="M15" s="31"/>
      <c r="N15" s="74"/>
      <c r="O15" s="74"/>
      <c r="P15" s="74"/>
    </row>
    <row r="16" spans="1:16" ht="129.6" x14ac:dyDescent="0.3">
      <c r="A16" s="27">
        <v>3</v>
      </c>
      <c r="B16" s="28" t="s">
        <v>18</v>
      </c>
      <c r="C16" s="29"/>
      <c r="D16" s="30">
        <v>15</v>
      </c>
      <c r="E16" s="31">
        <v>25130</v>
      </c>
      <c r="F16" s="31">
        <f>D16*E16</f>
        <v>376950</v>
      </c>
      <c r="G16" s="29"/>
      <c r="H16" s="31">
        <v>30591</v>
      </c>
      <c r="I16" s="31">
        <f t="shared" si="1"/>
        <v>458865</v>
      </c>
      <c r="J16" s="32"/>
      <c r="K16" s="33">
        <v>32500</v>
      </c>
      <c r="L16" s="31">
        <f t="shared" si="2"/>
        <v>487500</v>
      </c>
      <c r="M16" s="31"/>
      <c r="N16" s="74"/>
      <c r="O16" s="74"/>
      <c r="P16" s="74"/>
    </row>
    <row r="17" spans="1:16" ht="227.4" thickBot="1" x14ac:dyDescent="0.35">
      <c r="A17" s="27">
        <v>4</v>
      </c>
      <c r="B17" s="28" t="s">
        <v>20</v>
      </c>
      <c r="C17" s="29" t="s">
        <v>19</v>
      </c>
      <c r="D17" s="30">
        <v>5</v>
      </c>
      <c r="E17" s="31">
        <v>36921.21</v>
      </c>
      <c r="F17" s="31">
        <f>D17*E17</f>
        <v>184606.05</v>
      </c>
      <c r="G17" s="29"/>
      <c r="H17" s="31">
        <v>38378</v>
      </c>
      <c r="I17" s="31">
        <f>+H17*D17</f>
        <v>191890</v>
      </c>
      <c r="J17" s="32"/>
      <c r="K17" s="33">
        <v>39674</v>
      </c>
      <c r="L17" s="31">
        <f>+K17*D17</f>
        <v>198370</v>
      </c>
      <c r="M17" s="31"/>
      <c r="N17" s="74"/>
      <c r="O17" s="74"/>
      <c r="P17" s="74"/>
    </row>
    <row r="18" spans="1:16" ht="16.8" x14ac:dyDescent="0.3">
      <c r="A18" s="34"/>
      <c r="B18" s="34"/>
      <c r="C18" s="34"/>
      <c r="D18" s="34"/>
      <c r="E18" s="35" t="s">
        <v>9</v>
      </c>
      <c r="F18" s="36">
        <f>SUM(F14:F17)</f>
        <v>851626.05</v>
      </c>
      <c r="G18" s="37"/>
      <c r="H18" s="35" t="s">
        <v>9</v>
      </c>
      <c r="I18" s="36">
        <f>SUM(I14:I17)</f>
        <v>1018129</v>
      </c>
      <c r="J18" s="37"/>
      <c r="K18" s="35" t="s">
        <v>9</v>
      </c>
      <c r="L18" s="36">
        <f>SUM(L14:L17)</f>
        <v>1078725</v>
      </c>
      <c r="M18" s="38"/>
      <c r="N18" s="75"/>
      <c r="O18" s="75"/>
      <c r="P18" s="75"/>
    </row>
    <row r="19" spans="1:16" ht="16.8" x14ac:dyDescent="0.3">
      <c r="A19" s="34"/>
      <c r="B19" s="34"/>
      <c r="C19" s="34"/>
      <c r="D19" s="34"/>
      <c r="E19" s="39" t="s">
        <v>10</v>
      </c>
      <c r="F19" s="40">
        <f>F18*0.16</f>
        <v>136260.16800000001</v>
      </c>
      <c r="G19" s="41"/>
      <c r="H19" s="39" t="s">
        <v>10</v>
      </c>
      <c r="I19" s="40">
        <f>I18*16%</f>
        <v>162900.64000000001</v>
      </c>
      <c r="J19" s="37"/>
      <c r="K19" s="39" t="s">
        <v>10</v>
      </c>
      <c r="L19" s="40">
        <f>L18*16%</f>
        <v>172596</v>
      </c>
      <c r="M19" s="38"/>
      <c r="N19" s="61"/>
      <c r="O19" s="61"/>
      <c r="P19" s="61"/>
    </row>
    <row r="20" spans="1:16" ht="17.399999999999999" thickBot="1" x14ac:dyDescent="0.35">
      <c r="A20" s="34"/>
      <c r="B20" s="34"/>
      <c r="C20" s="34"/>
      <c r="D20" s="34"/>
      <c r="E20" s="42" t="s">
        <v>8</v>
      </c>
      <c r="F20" s="43">
        <f>SUM(F18:F19)</f>
        <v>987886.21800000011</v>
      </c>
      <c r="G20" s="41"/>
      <c r="H20" s="42" t="s">
        <v>8</v>
      </c>
      <c r="I20" s="43">
        <f>SUM(I18:I19)</f>
        <v>1181029.6400000001</v>
      </c>
      <c r="J20" s="37"/>
      <c r="K20" s="42" t="s">
        <v>8</v>
      </c>
      <c r="L20" s="43">
        <f>SUM(L18:L19)</f>
        <v>1251321</v>
      </c>
      <c r="M20" s="38"/>
      <c r="N20" s="76"/>
      <c r="O20" s="76"/>
      <c r="P20" s="76"/>
    </row>
    <row r="21" spans="1:16" ht="16.8" x14ac:dyDescent="0.3">
      <c r="E21" s="7"/>
      <c r="F21" s="8"/>
      <c r="H21" s="7"/>
      <c r="I21" s="9"/>
      <c r="K21" s="10"/>
      <c r="L21" s="9"/>
      <c r="N21" s="77"/>
      <c r="O21" s="78"/>
      <c r="P21" s="78"/>
    </row>
    <row r="22" spans="1:16" ht="39.6" customHeight="1" x14ac:dyDescent="0.3">
      <c r="A22" s="14"/>
      <c r="B22" s="14"/>
      <c r="C22" s="14"/>
      <c r="D22" s="14"/>
      <c r="E22" s="16"/>
      <c r="F22" s="17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3">
      <c r="A23" s="14"/>
      <c r="B23" s="79"/>
      <c r="C23" s="79"/>
      <c r="D23" s="79"/>
      <c r="E23" s="79"/>
      <c r="F23" s="18"/>
      <c r="G23" s="19"/>
      <c r="H23" s="19"/>
      <c r="I23" s="79"/>
      <c r="J23" s="79"/>
      <c r="K23" s="79"/>
      <c r="L23" s="79"/>
      <c r="M23" s="79"/>
      <c r="N23" s="79"/>
      <c r="O23" s="79"/>
      <c r="P23" s="14"/>
    </row>
    <row r="24" spans="1:16" x14ac:dyDescent="0.3">
      <c r="A24" s="14"/>
      <c r="B24" s="14"/>
      <c r="C24" s="14"/>
      <c r="D24" s="19"/>
      <c r="E24" s="19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4"/>
    </row>
    <row r="25" spans="1:16" x14ac:dyDescent="0.3">
      <c r="A25" s="14"/>
      <c r="B25" s="14"/>
      <c r="C25" s="14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4"/>
    </row>
    <row r="26" spans="1:16" ht="60" customHeight="1" x14ac:dyDescent="0.3">
      <c r="A26" s="14"/>
      <c r="B26" s="14"/>
      <c r="C26" s="14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4"/>
    </row>
    <row r="27" spans="1:16" x14ac:dyDescent="0.3">
      <c r="A27" s="14"/>
      <c r="B27" s="14"/>
      <c r="C27" s="14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4"/>
    </row>
    <row r="28" spans="1:16" ht="14.4" customHeight="1" x14ac:dyDescent="0.3">
      <c r="A28" s="14"/>
      <c r="B28" s="80"/>
      <c r="C28" s="80"/>
      <c r="D28" s="80"/>
      <c r="E28" s="80"/>
      <c r="F28" s="20"/>
      <c r="G28" s="20"/>
      <c r="H28" s="19"/>
      <c r="I28" s="80"/>
      <c r="J28" s="80"/>
      <c r="K28" s="80"/>
      <c r="L28" s="80"/>
      <c r="M28" s="80"/>
      <c r="N28" s="80"/>
      <c r="O28" s="80"/>
      <c r="P28" s="14"/>
    </row>
    <row r="29" spans="1:16" x14ac:dyDescent="0.3">
      <c r="A29" s="14"/>
      <c r="B29" s="80"/>
      <c r="C29" s="80"/>
      <c r="D29" s="80"/>
      <c r="E29" s="80"/>
      <c r="F29" s="20"/>
      <c r="G29" s="20"/>
      <c r="H29" s="19"/>
      <c r="I29" s="80"/>
      <c r="J29" s="80"/>
      <c r="K29" s="80"/>
      <c r="L29" s="80"/>
      <c r="M29" s="80"/>
      <c r="N29" s="80"/>
      <c r="O29" s="80"/>
      <c r="P29" s="14"/>
    </row>
    <row r="30" spans="1:16" x14ac:dyDescent="0.3">
      <c r="A30" s="14"/>
      <c r="B30" s="80"/>
      <c r="C30" s="80"/>
      <c r="D30" s="80"/>
      <c r="E30" s="80"/>
      <c r="F30" s="20"/>
      <c r="G30" s="20"/>
      <c r="H30" s="19"/>
      <c r="I30" s="80"/>
      <c r="J30" s="80"/>
      <c r="K30" s="80"/>
      <c r="L30" s="80"/>
      <c r="M30" s="80"/>
      <c r="N30" s="80"/>
      <c r="O30" s="80"/>
      <c r="P30" s="14"/>
    </row>
    <row r="31" spans="1:16" x14ac:dyDescent="0.3">
      <c r="A31" s="14"/>
      <c r="B31" s="80"/>
      <c r="C31" s="80"/>
      <c r="D31" s="80"/>
      <c r="E31" s="80"/>
      <c r="F31" s="20"/>
      <c r="G31" s="20"/>
      <c r="H31" s="19"/>
      <c r="I31" s="80"/>
      <c r="J31" s="80"/>
      <c r="K31" s="80"/>
      <c r="L31" s="80"/>
      <c r="M31" s="80"/>
      <c r="N31" s="80"/>
      <c r="O31" s="80"/>
      <c r="P31" s="14"/>
    </row>
    <row r="32" spans="1:16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</sheetData>
  <mergeCells count="28">
    <mergeCell ref="N20:P20"/>
    <mergeCell ref="N21:P21"/>
    <mergeCell ref="B23:E23"/>
    <mergeCell ref="I23:O23"/>
    <mergeCell ref="B28:E31"/>
    <mergeCell ref="I28:O31"/>
    <mergeCell ref="N19:P19"/>
    <mergeCell ref="A12:A13"/>
    <mergeCell ref="B12:B13"/>
    <mergeCell ref="E12:F12"/>
    <mergeCell ref="G12:G13"/>
    <mergeCell ref="H12:I12"/>
    <mergeCell ref="J12:J13"/>
    <mergeCell ref="K12:L12"/>
    <mergeCell ref="M12:M13"/>
    <mergeCell ref="N12:P13"/>
    <mergeCell ref="N14:P17"/>
    <mergeCell ref="N18:P18"/>
    <mergeCell ref="A1:J4"/>
    <mergeCell ref="H6:J6"/>
    <mergeCell ref="K6:M6"/>
    <mergeCell ref="B10:M10"/>
    <mergeCell ref="A11:B11"/>
    <mergeCell ref="C11:C13"/>
    <mergeCell ref="D11:D13"/>
    <mergeCell ref="E11:G11"/>
    <mergeCell ref="H11:J11"/>
    <mergeCell ref="K11:M11"/>
  </mergeCells>
  <pageMargins left="0.70866141732283472" right="0.70866141732283472" top="1.3385826771653544" bottom="0.74803149606299213" header="0.31496062992125984" footer="0.31496062992125984"/>
  <pageSetup scale="34" orientation="landscape" r:id="rId1"/>
  <headerFooter>
    <oddHeader>&amp;L&amp;"Century Gothic,Negrita"&amp;8&amp;G&amp;C2026. AÑO DEL HUMANISMO MEXICANO EN EL ESTADO DE MÉXICO,&amp;R&amp;G</oddHead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B06B6-BF24-4F77-96C8-B3B40CB34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Hoja1</vt:lpstr>
      <vt:lpstr>EM</vt:lpstr>
      <vt:lpstr>EM!Print_Area</vt:lpstr>
      <vt:lpstr>Hoja1!Print_Area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DENISSE MORALES PACHECO</cp:lastModifiedBy>
  <cp:lastPrinted>2026-02-05T22:14:04Z</cp:lastPrinted>
  <dcterms:created xsi:type="dcterms:W3CDTF">2025-02-17T21:08:02Z</dcterms:created>
  <dcterms:modified xsi:type="dcterms:W3CDTF">2026-04-13T18:54:39Z</dcterms:modified>
</cp:coreProperties>
</file>